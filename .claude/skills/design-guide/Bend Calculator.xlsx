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OXFAB_DATA\ENGINEERING\SOLIDWORKS\"/>
    </mc:Choice>
  </mc:AlternateContent>
  <xr:revisionPtr revIDLastSave="0" documentId="13_ncr:1_{DAE3805F-2617-4CBC-BE41-5A04DB55FB1F}" xr6:coauthVersionLast="47" xr6:coauthVersionMax="47" xr10:uidLastSave="{00000000-0000-0000-0000-000000000000}"/>
  <workbookProtection lockStructure="1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B3" i="1"/>
  <c r="C6" i="1"/>
  <c r="B4" i="1" l="1"/>
  <c r="B5" i="1"/>
  <c r="C4" i="1"/>
  <c r="C5" i="1" l="1"/>
</calcChain>
</file>

<file path=xl/sharedStrings.xml><?xml version="1.0" encoding="utf-8"?>
<sst xmlns="http://schemas.openxmlformats.org/spreadsheetml/2006/main" count="16" uniqueCount="10">
  <si>
    <t>Material Thickness</t>
  </si>
  <si>
    <t>Bend Angle</t>
  </si>
  <si>
    <t>Inside Radius</t>
  </si>
  <si>
    <t>"</t>
  </si>
  <si>
    <t>°</t>
  </si>
  <si>
    <t>Bend Calculator</t>
  </si>
  <si>
    <t>User Input</t>
  </si>
  <si>
    <t>Bend Deduction @ 90°</t>
  </si>
  <si>
    <t>K-factor @ 90°</t>
  </si>
  <si>
    <t>Optional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</si>
</sst>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164" fontId="0" fillId="2" borderId="2" xfId="0" applyNumberFormat="1" applyFill="1" applyBorder="1" applyProtection="1">
      <protection hidden="1"/>
    </xf>
    <xf numFmtId="164" fontId="2" fillId="2" borderId="5" xfId="0" applyNumberFormat="1" applyFont="1" applyFill="1" applyBorder="1" applyProtection="1">
      <protection locked="0"/>
    </xf>
    <xf numFmtId="0" fontId="2" fillId="2" borderId="5" xfId="0" applyFont="1" applyFill="1" applyBorder="1" applyProtection="1">
      <protection locked="0"/>
    </xf>
    <xf numFmtId="165" fontId="3" fillId="2" borderId="5" xfId="0" applyNumberFormat="1" applyFont="1" applyFill="1" applyBorder="1" applyProtection="1">
      <protection hidden="1"/>
    </xf>
    <xf numFmtId="164" fontId="4" fillId="2" borderId="5" xfId="0" applyNumberFormat="1" applyFont="1" applyFill="1" applyBorder="1" applyProtection="1">
      <protection hidden="1"/>
    </xf>
    <xf numFmtId="164" fontId="4" fillId="2" borderId="2" xfId="0" applyNumberFormat="1" applyFont="1" applyFill="1" applyBorder="1" applyProtection="1">
      <protection hidden="1"/>
    </xf>
    <xf numFmtId="165" fontId="3" fillId="2" borderId="5" xfId="0" applyNumberFormat="1" applyFont="1" applyFill="1" applyBorder="1" applyProtection="1">
      <protection locked="0"/>
    </xf>
    <xf numFmtId="0" fontId="4" fillId="2" borderId="4" xfId="0" applyFont="1" applyFill="1" applyBorder="1" applyProtection="1">
      <protection hidden="1"/>
    </xf>
    <xf numFmtId="0" fontId="4" fillId="2" borderId="1" xfId="0" applyFont="1" applyFill="1" applyBorder="1" applyProtection="1">
      <protection hidden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15" zoomScaleNormal="115" workbookViewId="0">
      <selection activeCell="C13" sqref="C13"/>
    </sheetView>
  </sheetViews>
  <sheetFormatPr defaultColWidth="0" defaultRowHeight="15" zeroHeight="1" x14ac:dyDescent="0.25"/>
  <cols>
    <col min="1" max="1" width="3.7109375" style="1" customWidth="1"/>
    <col min="2" max="2" width="20.85546875" style="1" bestFit="1" customWidth="1"/>
    <col min="3" max="3" width="9.140625" style="1" customWidth="1"/>
    <col min="4" max="4" width="1.85546875" style="1" bestFit="1" customWidth="1"/>
    <col min="5" max="5" width="3.7109375" style="1" customWidth="1"/>
    <col min="6" max="6" width="0" style="1" hidden="1" customWidth="1"/>
    <col min="7" max="16384" width="9.140625" style="1" hidden="1"/>
  </cols>
  <sheetData>
    <row r="1" spans="2:4" x14ac:dyDescent="0.25"/>
    <row r="2" spans="2:4" x14ac:dyDescent="0.25">
      <c r="B2" s="15" t="s">
        <v>5</v>
      </c>
      <c r="C2" s="16"/>
      <c r="D2" s="17"/>
    </row>
    <row r="3" spans="2:4" x14ac:dyDescent="0.25">
      <c r="B3" s="2" t="str">
        <f>"Outside Set Back @ " &amp;C12 &amp;"°"</f>
        <v>Outside Set Back @ 65°</v>
      </c>
      <c r="C3" s="6">
        <f>(TAN(RADIANS(C12)/2))*(C11+C10)</f>
        <v>0.31853513040374659</v>
      </c>
      <c r="D3" s="3" t="s">
        <v>3</v>
      </c>
    </row>
    <row r="4" spans="2:4" x14ac:dyDescent="0.25">
      <c r="B4" s="13" t="str">
        <f>"Bend Allowance @ " &amp;C12 &amp;"°"</f>
        <v>Bend Allowance @ 65°</v>
      </c>
      <c r="C4" s="10">
        <f>PI()/180*C12*(C11+IF(ISBLANK(C16),C6,C16)*C10)</f>
        <v>0.42611111111111116</v>
      </c>
      <c r="D4" s="5" t="s">
        <v>3</v>
      </c>
    </row>
    <row r="5" spans="2:4" x14ac:dyDescent="0.25">
      <c r="B5" s="14" t="str">
        <f>"Bend Deduction @ " &amp;C12 &amp;"°"</f>
        <v>Bend Deduction @ 65°</v>
      </c>
      <c r="C5" s="11">
        <f>2*C3-C4</f>
        <v>0.21095914969638202</v>
      </c>
      <c r="D5" s="3" t="s">
        <v>3</v>
      </c>
    </row>
    <row r="6" spans="2:4" x14ac:dyDescent="0.25">
      <c r="B6" s="4" t="s">
        <v>8</v>
      </c>
      <c r="C6" s="9">
        <f>((2*(TANH(90/2)*(C11+C10))-C13)/(PI()*90/180)-C11)/C10</f>
        <v>0.50242266278749215</v>
      </c>
      <c r="D6" s="5"/>
    </row>
    <row r="7" spans="2:4" x14ac:dyDescent="0.25"/>
    <row r="9" spans="2:4" x14ac:dyDescent="0.25">
      <c r="B9" s="15" t="s">
        <v>6</v>
      </c>
      <c r="C9" s="16"/>
      <c r="D9" s="17"/>
    </row>
    <row r="10" spans="2:4" x14ac:dyDescent="0.25">
      <c r="B10" s="4" t="s">
        <v>0</v>
      </c>
      <c r="C10" s="7">
        <v>0.25</v>
      </c>
      <c r="D10" s="5" t="s">
        <v>3</v>
      </c>
    </row>
    <row r="11" spans="2:4" x14ac:dyDescent="0.25">
      <c r="B11" s="4" t="s">
        <v>2</v>
      </c>
      <c r="C11" s="8">
        <v>0.25</v>
      </c>
      <c r="D11" s="5" t="s">
        <v>3</v>
      </c>
    </row>
    <row r="12" spans="2:4" x14ac:dyDescent="0.25">
      <c r="B12" s="4" t="s">
        <v>1</v>
      </c>
      <c r="C12" s="8">
        <v>65</v>
      </c>
      <c r="D12" s="5" t="s">
        <v>4</v>
      </c>
    </row>
    <row r="13" spans="2:4" x14ac:dyDescent="0.25">
      <c r="B13" s="4" t="s">
        <v>7</v>
      </c>
      <c r="C13" s="8">
        <v>0.41</v>
      </c>
      <c r="D13" s="5" t="s">
        <v>3</v>
      </c>
    </row>
    <row r="14" spans="2:4" x14ac:dyDescent="0.25"/>
    <row r="15" spans="2:4" x14ac:dyDescent="0.25">
      <c r="B15" s="15" t="s">
        <v>9</v>
      </c>
      <c r="C15" s="16"/>
      <c r="D15" s="17"/>
    </row>
    <row r="16" spans="2:4" x14ac:dyDescent="0.25">
      <c r="B16" s="4" t="s">
        <v>8</v>
      </c>
      <c r="C16" s="12"/>
      <c r="D16" s="5"/>
    </row>
    <row r="17" x14ac:dyDescent="0.25"/>
  </sheetData>
  <mergeCells count="3">
    <mergeCell ref="B2:D2"/>
    <mergeCell ref="B9:D9"/>
    <mergeCell ref="B15:D15"/>
  </mergeCells>
  <dataValidations count="2">
    <dataValidation type="list" allowBlank="1" showInputMessage="1" showErrorMessage="1" sqref="C11" xr:uid="{00000000-0002-0000-0000-000000000000}">
      <formula1>"0.024,0.039,0.118,0.125,0.236,0.250"</formula1>
    </dataValidation>
    <dataValidation allowBlank="1" showInputMessage="1" showErrorMessage="1" promptTitle="Input K-factor @ 90°" prompt="Leave this field blank if you do not have K-factor information._x000a__x000a_Insert the known K-factor value if avaliable.  NOTE:  This will overide the &quot;K-factor&quot; in the &quot;Bend Calculator Section&quot;.   " sqref="C16" xr:uid="{00000000-0002-0000-0000-000001000000}"/>
  </dataValidation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Hanta</dc:creator>
  <cp:lastModifiedBy>Amrinder Singh. Bansal</cp:lastModifiedBy>
  <cp:lastPrinted>2018-08-17T21:21:19Z</cp:lastPrinted>
  <dcterms:created xsi:type="dcterms:W3CDTF">2017-06-12T16:56:19Z</dcterms:created>
  <dcterms:modified xsi:type="dcterms:W3CDTF">2024-01-26T02:08:28Z</dcterms:modified>
</cp:coreProperties>
</file>